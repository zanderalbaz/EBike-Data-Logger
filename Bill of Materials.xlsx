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7762bb70448ac2/Documents/"/>
    </mc:Choice>
  </mc:AlternateContent>
  <xr:revisionPtr revIDLastSave="0" documentId="8_{EFF3129D-7FB8-46B3-9875-41E87200C963}" xr6:coauthVersionLast="47" xr6:coauthVersionMax="47" xr10:uidLastSave="{00000000-0000-0000-0000-000000000000}"/>
  <bookViews>
    <workbookView xWindow="-108" yWindow="-108" windowWidth="23256" windowHeight="12456" xr2:uid="{714C7137-D3BB-4D68-B340-AB3231A17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1" i="1"/>
  <c r="F12" i="1"/>
  <c r="F7" i="1"/>
  <c r="F3" i="1"/>
</calcChain>
</file>

<file path=xl/sharedStrings.xml><?xml version="1.0" encoding="utf-8"?>
<sst xmlns="http://schemas.openxmlformats.org/spreadsheetml/2006/main" count="38" uniqueCount="37">
  <si>
    <t>Material</t>
  </si>
  <si>
    <t>Source</t>
  </si>
  <si>
    <t>Price per array</t>
  </si>
  <si>
    <t>ESP32</t>
  </si>
  <si>
    <t>Sensor</t>
  </si>
  <si>
    <t>PVC pipe</t>
  </si>
  <si>
    <t>Copper Wire</t>
  </si>
  <si>
    <t>SD Card</t>
  </si>
  <si>
    <t>Prototype boards</t>
  </si>
  <si>
    <t>Socket box</t>
  </si>
  <si>
    <t>Battery</t>
  </si>
  <si>
    <t>Specs</t>
  </si>
  <si>
    <t>Magnetometer/Accelerometer</t>
  </si>
  <si>
    <t>2" diameter, 27 inches long</t>
  </si>
  <si>
    <t>PVC pipe caps</t>
  </si>
  <si>
    <t>18-22 gauge insulated wire, copper core</t>
  </si>
  <si>
    <t>2" diameter</t>
  </si>
  <si>
    <t>Charlotte Pipe Schedule 40 PVC Pressure Pipe 1/2 in. D X 10 ft. L Plain End 600 psi Mfr# PVC 04005 0600 - Ace Hardware</t>
  </si>
  <si>
    <t>10ft</t>
  </si>
  <si>
    <t>Charlotte Pipe Schedule 40 2 in. Slip PVC Cap 1 pk Mfr# PVC 02116 1600 - Ace Hardware</t>
  </si>
  <si>
    <t>10982-22-1-2000-004-1-TD CNC Tech | Cables, Wires | DigiKey</t>
  </si>
  <si>
    <t>SockitBox – The Original Weatherproof Connection Box – Indoor &amp; Outdoor Electrical Power Cord Enclosure for Timers, Extension Cables, Holiday Lights, Power Tools, Fountains &amp; More – Size Small – Black - Home And Garden Products - Amazon.com</t>
  </si>
  <si>
    <t>small</t>
  </si>
  <si>
    <t>Solder</t>
  </si>
  <si>
    <t>Amazon.com: ESP-WROOM-32 ESP32 ESP-32S Development Board 2.4GHz Dual-Mode WiFi + Bluetooth Dual Cores Microcontroller Processor Integrated with Antenna RF AMP Filter AP STA Compatible with Arduino IDE (3PCS) : Electronics</t>
  </si>
  <si>
    <t>SparkFun ICM-20948 9DoF IMU Breakout (Qwiic) - RobotShop</t>
  </si>
  <si>
    <t>Adafruit SPI Flash SD Card - XTSD 4 GB : ID 6039 : Adafruit Industries, Unique &amp; fun DIY electronics and kits</t>
  </si>
  <si>
    <t>Adafruit SPI Flash SD Card - XTSD 4 GB</t>
  </si>
  <si>
    <t>ELEGOO 32 Pcs Double Sided PCB Board Prototype Kit for DIY Soldering with 5 Sizes Compatible with Arduino Kits: Amazon.com: Industrial &amp; Scientific</t>
  </si>
  <si>
    <t>V75 USB Battery Pack | 19,200mAh 71Wh</t>
  </si>
  <si>
    <t>Unit</t>
  </si>
  <si>
    <t>Price per unit</t>
  </si>
  <si>
    <t>5ft</t>
  </si>
  <si>
    <t>Voltaic V75</t>
  </si>
  <si>
    <t>Mount screw block terminal</t>
  </si>
  <si>
    <t>rosin core</t>
  </si>
  <si>
    <t>https://www.amazon.com/Rosin-Core-Solder-60-4oz/dp/B0006O933K?source=ps-sl-shoppingads-lpcontext&amp;ref_=fplfs&amp;psc=1&amp;smid=A2R92AXYEBHZFJ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</si>
</sst>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8" fontId="0" fillId="0" borderId="0" xfId="0" applyNumberFormat="1"/>
    <xf numFmtId="0" fontId="1" fillId="2" borderId="0" xfId="0" applyFont="1" applyFill="1"/>
    <xf numFmtId="38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ELEGOO-Prototype-Soldering-Compatible-Arduino/dp/B072Z7Y19F/ref=asc_df_B072Z7Y19F?mcid=85c0f9e002f23ecfb8635d722fc8ef73&amp;hvocijid=10166352482315971895-B072Z7Y19F-&amp;hvexpln=73&amp;tag=hyprod-20&amp;linkCode=df0&amp;hvadid=721245378154&amp;hvpos=&amp;hvnetw=g&amp;hvrand=10166352482315971895&amp;hvpone=&amp;hvptwo=&amp;hvqmt=&amp;hvdev=c&amp;hvdvcmdl=&amp;hvlocint=&amp;hvlocphy=9029132&amp;hvtargid=pla-2281435179298&amp;psc=1" TargetMode="External"/><Relationship Id="rId3" Type="http://schemas.openxmlformats.org/officeDocument/2006/relationships/hyperlink" Target="https://www.digikey.com/en/products/detail/cnc-tech/10982-22-1-2000-004-1-TD/12749446?gad_source=1&amp;gad_campaignid=20050284185&amp;gclid=Cj0KCQjw5ubABhDIARIsAHMighYYfYlo6tgkbjQy1vjVab0_mJRrZCjL0sy0H7zqh4MOmR4kntpPIU4aAgZuEALw_wcB&amp;gclsrc=aw.ds" TargetMode="External"/><Relationship Id="rId7" Type="http://schemas.openxmlformats.org/officeDocument/2006/relationships/hyperlink" Target="https://www.adafruit.com/product/6039" TargetMode="External"/><Relationship Id="rId2" Type="http://schemas.openxmlformats.org/officeDocument/2006/relationships/hyperlink" Target="https://www.acehardware.com/departments/plumbing/pipe-fittings/plastic-fittings/43160?store=17399&amp;gad_source=1&amp;gad_campaignid=20155431008&amp;gclid=Cj0KCQjw5ubABhDIARIsAHMighZGWu4CyjBMWZXyKqpknDVN6vna3_MRB_MIUSAHRWfEv_dA0LsF44oaAmInEALw_wcB&amp;gclsrc=aw.ds" TargetMode="External"/><Relationship Id="rId1" Type="http://schemas.openxmlformats.org/officeDocument/2006/relationships/hyperlink" Target="https://www.acehardware.com/departments/plumbing/pipe/plastic-pipe/44875?store=17399&amp;gad_source=1&amp;gad_campaignid=20155431008&amp;gclid=Cj0KCQjw5ubABhDIARIsAHMighYKgK0EQjE-6sgvNTpWI2HM-3wCgh39gdNEr1PDGDyARkxXdCUrcjoaAqbGEALw_wcB&amp;gclsrc=aw.ds" TargetMode="External"/><Relationship Id="rId6" Type="http://schemas.openxmlformats.org/officeDocument/2006/relationships/hyperlink" Target="https://www.robotshop.com/products/sparkfun-icm-20948-9dof-imu-breakout-qwiic?srsltid=AfmBOopMVuhJbJ3WJqmsruTvh-Ce5_vKP4hgWcL_9YmL196PXa_4OS6l0Cs&amp;gQT=2" TargetMode="External"/><Relationship Id="rId11" Type="http://schemas.openxmlformats.org/officeDocument/2006/relationships/hyperlink" Target="https://www.amazon.com/Rosin-Core-Solder-60-4oz/dp/B0006O933K?source=ps-sl-shoppingads-lpcontext&amp;ref_=fplfs&amp;psc=1&amp;smid=A2R92AXYEBHZFJ" TargetMode="External"/><Relationship Id="rId5" Type="http://schemas.openxmlformats.org/officeDocument/2006/relationships/hyperlink" Target="https://www.amazon.com/ESP-WROOM-32-Development-Microcontroller-Integrated-Compatible/dp/B08D5ZD528?source=ps-sl-shoppingads-lpcontext&amp;ref_=fplfs&amp;smid=A2Z10KY0342329&amp;gQT=2&amp;th=1" TargetMode="External"/><Relationship Id="rId10" Type="http://schemas.openxmlformats.org/officeDocument/2006/relationships/hyperlink" Target="https://voltaicsystems.com/v75/?srsltid=AfmBOoooA3QNWDpsJzT3S36DMoh1Ctp0MlsYenBI13Ysf8PkTGFxBKFc" TargetMode="External"/><Relationship Id="rId4" Type="http://schemas.openxmlformats.org/officeDocument/2006/relationships/hyperlink" Target="https://www.amazon.com/SOCKiTBOX-Weatherproof-Connection-Electrical-Enclosure/dp/B009RX5GI2?th=1" TargetMode="External"/><Relationship Id="rId9" Type="http://schemas.openxmlformats.org/officeDocument/2006/relationships/hyperlink" Target="https://voltaicsystems.com/v75/?srsltid=AfmBOoooA3QNWDpsJzT3S36DMoh1Ctp0MlsYenBI13Ysf8PkTGFxBK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DC28-65DF-4C2B-AB96-CB396AD75DEC}">
  <dimension ref="A1:F13"/>
  <sheetViews>
    <sheetView tabSelected="1" workbookViewId="0">
      <selection activeCell="I9" sqref="I9"/>
    </sheetView>
  </sheetViews>
  <sheetFormatPr defaultRowHeight="14.4" x14ac:dyDescent="0.3"/>
  <cols>
    <col min="1" max="1" width="20.109375" customWidth="1"/>
    <col min="2" max="2" width="26.33203125" customWidth="1"/>
    <col min="3" max="3" width="33.77734375" customWidth="1"/>
    <col min="4" max="4" width="13.44140625" customWidth="1"/>
    <col min="5" max="5" width="6.6640625" customWidth="1"/>
    <col min="6" max="6" width="13.6640625" customWidth="1"/>
  </cols>
  <sheetData>
    <row r="1" spans="1:6" x14ac:dyDescent="0.3">
      <c r="A1" s="4" t="s">
        <v>0</v>
      </c>
      <c r="B1" s="4" t="s">
        <v>11</v>
      </c>
      <c r="C1" s="4" t="s">
        <v>1</v>
      </c>
      <c r="D1" s="4" t="s">
        <v>31</v>
      </c>
      <c r="E1" s="4" t="s">
        <v>30</v>
      </c>
      <c r="F1" s="4" t="s">
        <v>2</v>
      </c>
    </row>
    <row r="2" spans="1:6" x14ac:dyDescent="0.3">
      <c r="A2" s="1" t="s">
        <v>3</v>
      </c>
      <c r="B2" s="1"/>
      <c r="C2" s="2" t="s">
        <v>24</v>
      </c>
      <c r="D2" s="3">
        <v>15.99</v>
      </c>
      <c r="E2" s="5">
        <v>1</v>
      </c>
      <c r="F2" s="3">
        <v>15.99</v>
      </c>
    </row>
    <row r="3" spans="1:6" x14ac:dyDescent="0.3">
      <c r="A3" s="1" t="s">
        <v>4</v>
      </c>
      <c r="B3" s="1" t="s">
        <v>12</v>
      </c>
      <c r="C3" s="2" t="s">
        <v>25</v>
      </c>
      <c r="D3" s="3">
        <v>18.5</v>
      </c>
      <c r="E3" s="5">
        <v>1</v>
      </c>
      <c r="F3" s="3">
        <f>D3*3</f>
        <v>55.5</v>
      </c>
    </row>
    <row r="4" spans="1:6" x14ac:dyDescent="0.3">
      <c r="A4" s="1" t="s">
        <v>5</v>
      </c>
      <c r="B4" s="1" t="s">
        <v>13</v>
      </c>
      <c r="C4" s="2" t="s">
        <v>17</v>
      </c>
      <c r="D4" s="3">
        <v>5.59</v>
      </c>
      <c r="E4" s="5" t="s">
        <v>18</v>
      </c>
      <c r="F4" s="3">
        <v>1.39</v>
      </c>
    </row>
    <row r="5" spans="1:6" x14ac:dyDescent="0.3">
      <c r="A5" s="1" t="s">
        <v>14</v>
      </c>
      <c r="B5" s="1" t="s">
        <v>16</v>
      </c>
      <c r="C5" s="2" t="s">
        <v>19</v>
      </c>
      <c r="D5" s="3">
        <v>3.59</v>
      </c>
      <c r="E5" s="5">
        <v>1</v>
      </c>
      <c r="F5" s="3">
        <v>7.18</v>
      </c>
    </row>
    <row r="6" spans="1:6" ht="28.8" x14ac:dyDescent="0.3">
      <c r="A6" s="1" t="s">
        <v>6</v>
      </c>
      <c r="B6" s="1" t="s">
        <v>15</v>
      </c>
      <c r="C6" s="2" t="s">
        <v>20</v>
      </c>
      <c r="D6" s="3">
        <v>0.89</v>
      </c>
      <c r="E6" s="5" t="s">
        <v>32</v>
      </c>
      <c r="F6" s="3">
        <v>17.8</v>
      </c>
    </row>
    <row r="7" spans="1:6" ht="28.8" x14ac:dyDescent="0.3">
      <c r="A7" s="1" t="s">
        <v>7</v>
      </c>
      <c r="B7" s="1" t="s">
        <v>27</v>
      </c>
      <c r="C7" s="2" t="s">
        <v>26</v>
      </c>
      <c r="D7" s="3">
        <v>12.5</v>
      </c>
      <c r="E7" s="5">
        <v>1</v>
      </c>
      <c r="F7" s="3">
        <f>D7</f>
        <v>12.5</v>
      </c>
    </row>
    <row r="8" spans="1:6" x14ac:dyDescent="0.3">
      <c r="A8" s="1" t="s">
        <v>8</v>
      </c>
      <c r="B8" s="1"/>
      <c r="C8" s="2" t="s">
        <v>28</v>
      </c>
      <c r="D8" s="3">
        <v>9.99</v>
      </c>
      <c r="E8" s="5">
        <v>32</v>
      </c>
      <c r="F8" s="3">
        <v>1.56</v>
      </c>
    </row>
    <row r="9" spans="1:6" x14ac:dyDescent="0.3">
      <c r="A9" s="1" t="s">
        <v>9</v>
      </c>
      <c r="B9" s="1" t="s">
        <v>22</v>
      </c>
      <c r="C9" s="2" t="s">
        <v>21</v>
      </c>
      <c r="D9" s="3">
        <v>18.989999999999998</v>
      </c>
      <c r="E9" s="5">
        <v>1</v>
      </c>
      <c r="F9" s="3">
        <v>18.989999999999998</v>
      </c>
    </row>
    <row r="10" spans="1:6" x14ac:dyDescent="0.3">
      <c r="A10" s="1" t="s">
        <v>10</v>
      </c>
      <c r="B10" s="1" t="s">
        <v>33</v>
      </c>
      <c r="C10" s="2" t="s">
        <v>29</v>
      </c>
      <c r="D10" s="3">
        <v>89</v>
      </c>
      <c r="E10" s="5">
        <v>1</v>
      </c>
      <c r="F10" s="3">
        <v>89</v>
      </c>
    </row>
    <row r="11" spans="1:6" x14ac:dyDescent="0.3">
      <c r="A11" s="1" t="s">
        <v>23</v>
      </c>
      <c r="B11" s="1" t="s">
        <v>35</v>
      </c>
      <c r="C11" s="2" t="s">
        <v>36</v>
      </c>
      <c r="D11" s="3">
        <v>12.99</v>
      </c>
      <c r="E11" s="5">
        <v>1</v>
      </c>
      <c r="F11" s="3">
        <f>D11/4</f>
        <v>3.2475000000000001</v>
      </c>
    </row>
    <row r="12" spans="1:6" ht="28.8" x14ac:dyDescent="0.3">
      <c r="A12" s="1" t="s">
        <v>34</v>
      </c>
      <c r="B12" s="1"/>
      <c r="C12" s="2" t="s">
        <v>29</v>
      </c>
      <c r="D12" s="3">
        <v>14.99</v>
      </c>
      <c r="E12" s="5">
        <v>50</v>
      </c>
      <c r="F12" s="3">
        <f>D12/E12</f>
        <v>0.29980000000000001</v>
      </c>
    </row>
    <row r="13" spans="1:6" x14ac:dyDescent="0.3">
      <c r="F13" s="3">
        <f>SUM(F2:F12)</f>
        <v>223.4573</v>
      </c>
    </row>
  </sheetData>
  <hyperlinks>
    <hyperlink ref="C4" r:id="rId1" display="https://www.acehardware.com/departments/plumbing/pipe/plastic-pipe/44875?store=17399&amp;gad_source=1&amp;gad_campaignid=20155431008&amp;gclid=Cj0KCQjw5ubABhDIARIsAHMighYKgK0EQjE-6sgvNTpWI2HM-3wCgh39gdNEr1PDGDyARkxXdCUrcjoaAqbGEALw_wcB&amp;gclsrc=aw.ds" xr:uid="{053EB15C-A254-4326-BBCA-FB799C38AB0A}"/>
    <hyperlink ref="C5" r:id="rId2" display="https://www.acehardware.com/departments/plumbing/pipe-fittings/plastic-fittings/43160?store=17399&amp;gad_source=1&amp;gad_campaignid=20155431008&amp;gclid=Cj0KCQjw5ubABhDIARIsAHMighZGWu4CyjBMWZXyKqpknDVN6vna3_MRB_MIUSAHRWfEv_dA0LsF44oaAmInEALw_wcB&amp;gclsrc=aw.ds" xr:uid="{DFA3DD0B-7D4D-4245-AEB2-0D992962FA6A}"/>
    <hyperlink ref="C6" r:id="rId3" display="https://www.digikey.com/en/products/detail/cnc-tech/10982-22-1-2000-004-1-TD/12749446?gad_source=1&amp;gad_campaignid=20050284185&amp;gclid=Cj0KCQjw5ubABhDIARIsAHMighYYfYlo6tgkbjQy1vjVab0_mJRrZCjL0sy0H7zqh4MOmR4kntpPIU4aAgZuEALw_wcB&amp;gclsrc=aw.ds" xr:uid="{C5ADD52B-005D-4887-8D6E-38A10BB30308}"/>
    <hyperlink ref="C9" r:id="rId4" display="https://www.amazon.com/SOCKiTBOX-Weatherproof-Connection-Electrical-Enclosure/dp/B009RX5GI2?th=1" xr:uid="{9F04AEE4-53F3-45B2-AF0A-EBC7ADB6FD5A}"/>
    <hyperlink ref="C2" r:id="rId5" display="https://www.amazon.com/ESP-WROOM-32-Development-Microcontroller-Integrated-Compatible/dp/B08D5ZD528?source=ps-sl-shoppingads-lpcontext&amp;ref_=fplfs&amp;smid=A2Z10KY0342329&amp;gQT=2&amp;th=1" xr:uid="{320FB6AE-3268-40EB-BE60-A5CF1AD7E0BD}"/>
    <hyperlink ref="C3" r:id="rId6" display="https://www.robotshop.com/products/sparkfun-icm-20948-9dof-imu-breakout-qwiic?srsltid=AfmBOopMVuhJbJ3WJqmsruTvh-Ce5_vKP4hgWcL_9YmL196PXa_4OS6l0Cs&amp;gQT=2" xr:uid="{32FC0CF5-F387-4685-B3FE-E4B67C1303C1}"/>
    <hyperlink ref="C7" r:id="rId7" display="https://www.adafruit.com/product/6039" xr:uid="{03CB0ED6-A9DE-4989-8918-E896AC9B9B59}"/>
    <hyperlink ref="C8" r:id="rId8" display="https://www.amazon.com/ELEGOO-Prototype-Soldering-Compatible-Arduino/dp/B072Z7Y19F/ref=asc_df_B072Z7Y19F?mcid=85c0f9e002f23ecfb8635d722fc8ef73&amp;hvocijid=10166352482315971895-B072Z7Y19F-&amp;hvexpln=73&amp;tag=hyprod-20&amp;linkCode=df0&amp;hvadid=721245378154&amp;hvpos=&amp;hvnetw=g&amp;hvrand=10166352482315971895&amp;hvpone=&amp;hvptwo=&amp;hvqmt=&amp;hvdev=c&amp;hvdvcmdl=&amp;hvlocint=&amp;hvlocphy=9029132&amp;hvtargid=pla-2281435179298&amp;psc=1" xr:uid="{17B552DA-A2FA-4E72-B247-C41E0EEC4A14}"/>
    <hyperlink ref="C10" r:id="rId9" display="https://voltaicsystems.com/v75/?srsltid=AfmBOoooA3QNWDpsJzT3S36DMoh1Ctp0MlsYenBI13Ysf8PkTGFxBKFc" xr:uid="{0F250F63-5333-4AAE-A804-7A34B576D76D}"/>
    <hyperlink ref="C12" r:id="rId10" display="https://voltaicsystems.com/v75/?srsltid=AfmBOoooA3QNWDpsJzT3S36DMoh1Ctp0MlsYenBI13Ysf8PkTGFxBKFc" xr:uid="{204DDB7A-5489-4C85-B668-21599AD6C22B}"/>
    <hyperlink ref="C11" r:id="rId11" xr:uid="{2257083A-C34B-4D65-9A77-7DC5A7C0A9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Chocie Landvik</dc:creator>
  <cp:lastModifiedBy>Chocie Landvik</cp:lastModifiedBy>
  <dcterms:created xsi:type="dcterms:W3CDTF">2025-05-07T01:15:17Z</dcterms:created>
  <dcterms:modified xsi:type="dcterms:W3CDTF">2025-05-07T01:56:28Z</dcterms:modified>
</cp:coreProperties>
</file>